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05CDEC-3469-42B2-BD1D-17944FF8B86D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Instructions" sheetId="1" r:id="rId1"/>
    <sheet name="Dataset" sheetId="2" r:id="rId2"/>
    <sheet name="ASSIGNMENT 2" sheetId="4" r:id="rId3"/>
    <sheet name="Sheet1" sheetId="6" r:id="rId4"/>
  </sheets>
  <definedNames>
    <definedName name="_xlnm._FilterDatabase" localSheetId="2" hidden="1">'ASSIGNMENT 2'!$A$1:$P$32</definedName>
  </definedNames>
  <calcPr calcId="18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3" authorId="0" shapeId="0" xr:uid="{9D2BC2B4-EBB2-4F13-8020-2AD6575B3256}">
      <text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<sst xmlns="http://schemas.openxmlformats.org/spreadsheetml/2006/main" count="397" uniqueCount="178">
  <si>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</si>
  <si>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</si>
  <si>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</si>
  <si>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</si>
  <si>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</si>
  <si>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</si>
  <si>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</si>
  <si>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</si>
  <si>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</si>
  <si>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</si>
  <si>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</si>
  <si>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</si>
  <si>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</si>
  <si>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</si>
  <si>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</si>
  <si>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</si>
  <si>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</si>
  <si>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</si>
  <si>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</si>
  <si>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</si>
  <si>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</si>
  <si>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</si>
  <si>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</si>
  <si>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</si>
  <si>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</si>
  <si>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</si>
  <si>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</si>
  <si>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</si>
  <si>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</si>
  <si>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</si>
  <si>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</si>
  <si>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</si>
  <si>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</si>
  <si>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</si>
  <si>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</si>
  <si>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</si>
  <si>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</si>
  <si>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</si>
  <si>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</si>
  <si>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</si>
  <si>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</si>
  <si>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</si>
  <si>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</si>
  <si>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</si>
  <si>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</si>
  <si>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</si>
  <si>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</si>
  <si>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</si>
  <si>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</si>
  <si>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</si>
  <si>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</si>
  <si>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</si>
  <si>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</si>
  <si>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</si>
  <si>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</si>
  <si>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</si>
  <si>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</si>
  <si>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</si>
  <si>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</si>
  <si>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</si>
  <si>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</si>
  <si>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</si>
  <si>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</si>
  <si>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</si>
  <si>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</si>
  <si>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</si>
  <si>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</si>
  <si>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</si>
  <si>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</si>
  <si>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</si>
  <si>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</si>
  <si>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</si>
  <si>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</si>
  <si>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</si>
  <si>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</si>
  <si>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</si>
  <si>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</si>
  <si>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</si>
  <si>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</si>
  <si>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</si>
  <si>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</si>
  <si>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</si>
  <si>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</si>
  <si>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</si>
  <si>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</si>
  <si>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</si>
  <si>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</si>
  <si>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</si>
  <si>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</si>
  <si>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</si>
  <si>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</si>
  <si>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</si>
  <si>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</si>
  <si>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</si>
  <si>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</si>
  <si>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</si>
  <si>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</si>
  <si>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</si>
  <si>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</si>
  <si>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</si>
  <si>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</si>
  <si>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</si>
  <si>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</si>
  <si>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</si>
  <si>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</si>
  <si>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</si>
  <si>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</si>
  <si>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</si>
  <si>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</si>
  <si>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</si>
  <si>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</si>
  <si>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</si>
  <si>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</si>
  <si>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</si>
  <si>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</si>
  <si>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€</t>
  </si>
  <si>
    <t>data&gt;filter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</si>
  <si>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</si>
  <si>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</si>
  <si>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</si>
  <si>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</si>
  <si>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</si>
  <si>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</si>
  <si>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</si>
  <si>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</si>
  <si>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</si>
  <si>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</si>
  <si>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</si>
  <si>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</si>
  <si>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</si>
  <si>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imputed price</t>
  </si>
  <si>
    <t>FLASH FILL</t>
  </si>
  <si>
    <t>T-Shirt</t>
  </si>
  <si>
    <t>Unknown</t>
  </si>
  <si>
    <t>home&gt;find&amp;replace&gt;blank&gt;unknown</t>
  </si>
  <si>
    <t>flash fill upper case</t>
  </si>
  <si>
    <t>find and replace</t>
  </si>
  <si>
    <t>data&gt;remove duplicate</t>
  </si>
  <si>
    <t>INSERT NEW COLUMN AND FLAS FILL( CTRL+E)</t>
  </si>
  <si>
    <t>COUNTRYCODE AND MANUFACTURING DATE</t>
  </si>
  <si>
    <t>Manufacturing date</t>
  </si>
  <si>
    <t>HOME&gt;NUMBER&gt;GENARAL&gt;CURRENCY</t>
  </si>
  <si>
    <t>HOME&gt;NUMBER&gt;SHORTDATE</t>
  </si>
  <si>
    <t>HOME&gt;CONDITIONAL FORMATTING&gt;COLOUR SCALE</t>
  </si>
  <si>
    <t>conditional formatting&gt;high lighting cell rule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</si>
  <si>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</si>
  <si>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</si>
  <si>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</si>
  <si>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</si>
  <si>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</si>
  <si>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</si>
  <si>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</si>
  <si>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</si>
  <si>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</si>
  <si>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</si>
  <si>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</si>
  <si>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</si>
  <si>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</si>
  <si>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</si>
  <si>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</si>
  <si>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</si>
  <si>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</si>
  <si>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</si>
  <si>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</si>
  <si>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</si>
  <si>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</si>
  <si>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</si>
  <si>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</si>
  <si>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</si>
  <si>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</si>
  <si>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</si>
  <si>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</si>
  <si>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</si>
  <si>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</si>
  <si>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</si>
  <si>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</si>
  <si>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product brand</t>
  </si>
  <si>
    <t>INSERT NEW COLUMN AND TYPE" Dell Laptop"&gt;ctrl+E(FLASH FILL)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</si>
</sst>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9"/>
      <color indexed="81"/>
      <name val="Tahoma"/>
      <charset val="1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quotePrefix="1"/>
    <xf numFmtId="0" fontId="0" fillId="0" borderId="0" xfId="0" quotePrefix="1" applyAlignment="1">
      <alignment horizontal="center"/>
    </xf>
    <xf numFmtId="165" fontId="7" fillId="2" borderId="0" xfId="0" applyNumberFormat="1" applyFont="1" applyFill="1" applyAlignment="1">
      <alignment horizontal="center"/>
    </xf>
    <xf numFmtId="165" fontId="5" fillId="0" borderId="0" xfId="0" applyNumberFormat="1" applyFont="1"/>
    <xf numFmtId="165" fontId="5" fillId="3" borderId="0" xfId="0" applyNumberFormat="1" applyFont="1" applyFill="1"/>
    <xf numFmtId="165" fontId="0" fillId="0" borderId="0" xfId="0" applyNumberFormat="1"/>
    <xf numFmtId="14" fontId="5" fillId="2" borderId="0" xfId="0" applyNumberFormat="1" applyFont="1" applyFill="1"/>
    <xf numFmtId="14" fontId="5" fillId="0" borderId="0" xfId="0" applyNumberFormat="1" applyFont="1"/>
    <xf numFmtId="14" fontId="5" fillId="3" borderId="0" xfId="0" applyNumberFormat="1" applyFont="1" applyFill="1"/>
    <xf numFmtId="14" fontId="5" fillId="0" borderId="0" xfId="0" applyNumberFormat="1" applyFont="1" applyFill="1"/>
    <xf numFmtId="14" fontId="0" fillId="0" borderId="0" xfId="0" applyNumberFormat="1"/>
    <xf numFmtId="0" fontId="10" fillId="0" borderId="0" xfId="0" applyFont="1"/>
    <xf numFmtId="0" fontId="8" fillId="0" borderId="0" xfId="0" applyFont="1"/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7</xdr:col>
      <xdr:colOff>190952</xdr:colOff>
      <xdr:row>6</xdr:row>
      <xdr:rowOff>3264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A9B8440-10B4-0B67-7AB0-261A112C5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17500"/>
          <a:ext cx="3238952" cy="638264"/>
        </a:xfrm>
        <a:prstGeom prst="rect">
          <a:avLst/>
        </a:prstGeom>
      </xdr:spPr>
    </xdr:pic>
    <xdr:clientData/>
  </xdr:twoCellAnchor>
  <xdr:twoCellAnchor editAs="oneCell">
    <xdr:from>
      <xdr:col>8</xdr:col>
      <xdr:colOff>471141</xdr:colOff>
      <xdr:row>0</xdr:row>
      <xdr:rowOff>63500</xdr:rowOff>
    </xdr:from>
    <xdr:to>
      <xdr:col>11</xdr:col>
      <xdr:colOff>486361</xdr:colOff>
      <xdr:row>14</xdr:row>
      <xdr:rowOff>86439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0AADF5-BD91-172B-B52F-2F90511C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7941" y="63500"/>
          <a:ext cx="1844020" cy="2245439"/>
        </a:xfrm>
        <a:prstGeom prst="rect">
          <a:avLst/>
        </a:prstGeom>
      </xdr:spPr>
    </xdr:pic>
    <xdr:clientData/>
  </xdr:twoCellAnchor>
  <xdr:twoCellAnchor editAs="oneCell">
    <xdr:from>
      <xdr:col>2</xdr:col>
      <xdr:colOff>358202</xdr:colOff>
      <xdr:row>20</xdr:row>
      <xdr:rowOff>38100</xdr:rowOff>
    </xdr:from>
    <xdr:to>
      <xdr:col>5</xdr:col>
      <xdr:colOff>479933</xdr:colOff>
      <xdr:row>41</xdr:row>
      <xdr:rowOff>96135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91F992-1054-7A5D-4E60-7EC8C92F3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7402" y="3213100"/>
          <a:ext cx="1950531" cy="3391785"/>
        </a:xfrm>
        <a:prstGeom prst="rect">
          <a:avLst/>
        </a:prstGeom>
      </xdr:spPr>
    </xdr:pic>
    <xdr:clientData/>
  </xdr:twoCellAnchor>
  <xdr:twoCellAnchor editAs="oneCell">
    <xdr:from>
      <xdr:col>2</xdr:col>
      <xdr:colOff>355600</xdr:colOff>
      <xdr:row>43</xdr:row>
      <xdr:rowOff>95250</xdr:rowOff>
    </xdr:from>
    <xdr:to>
      <xdr:col>6</xdr:col>
      <xdr:colOff>373448</xdr:colOff>
      <xdr:row>50</xdr:row>
      <xdr:rowOff>16288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7C8281A-58F2-FC57-873C-472751FD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4800" y="6921500"/>
          <a:ext cx="2456248" cy="1032288"/>
        </a:xfrm>
        <a:prstGeom prst="rect">
          <a:avLst/>
        </a:prstGeom>
      </xdr:spPr>
    </xdr:pic>
    <xdr:clientData/>
  </xdr:twoCellAnchor>
  <xdr:twoCellAnchor editAs="oneCell">
    <xdr:from>
      <xdr:col>2</xdr:col>
      <xdr:colOff>482601</xdr:colOff>
      <xdr:row>52</xdr:row>
      <xdr:rowOff>82550</xdr:rowOff>
    </xdr:from>
    <xdr:to>
      <xdr:col>8</xdr:col>
      <xdr:colOff>596835</xdr:colOff>
      <xdr:row>61</xdr:row>
      <xdr:rowOff>127401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F9C7D2F-6D91-88D4-2F53-F3699D3A9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1801" y="8337550"/>
          <a:ext cx="3771834" cy="1473601"/>
        </a:xfrm>
        <a:prstGeom prst="rect">
          <a:avLst/>
        </a:prstGeom>
      </xdr:spPr>
    </xdr:pic>
    <xdr:clientData/>
  </xdr:twoCellAnchor>
  <xdr:twoCellAnchor editAs="oneCell">
    <xdr:from>
      <xdr:col>3</xdr:col>
      <xdr:colOff>146049</xdr:colOff>
      <xdr:row>65</xdr:row>
      <xdr:rowOff>63536</xdr:rowOff>
    </xdr:from>
    <xdr:to>
      <xdr:col>8</xdr:col>
      <xdr:colOff>265266</xdr:colOff>
      <xdr:row>73</xdr:row>
      <xdr:rowOff>133350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622386A-8C52-A108-2992-1326FC2A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4849" y="10382286"/>
          <a:ext cx="3167217" cy="13398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9</xdr:col>
      <xdr:colOff>162779</xdr:colOff>
      <xdr:row>87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8BF6118-305A-F7DE-574E-ADA0A4193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2382500"/>
          <a:ext cx="3820379" cy="1543050"/>
        </a:xfrm>
        <a:prstGeom prst="rect">
          <a:avLst/>
        </a:prstGeom>
      </xdr:spPr>
    </xdr:pic>
    <xdr:clientData/>
  </xdr:twoCellAnchor>
  <xdr:twoCellAnchor editAs="oneCell">
    <xdr:from>
      <xdr:col>3</xdr:col>
      <xdr:colOff>412751</xdr:colOff>
      <xdr:row>93</xdr:row>
      <xdr:rowOff>27223</xdr:rowOff>
    </xdr:from>
    <xdr:to>
      <xdr:col>7</xdr:col>
      <xdr:colOff>577850</xdr:colOff>
      <xdr:row>106</xdr:row>
      <xdr:rowOff>124377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0896860-ED17-DD7C-38E1-11EF7DFD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41551" y="14790973"/>
          <a:ext cx="2603499" cy="2160904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317501</xdr:colOff>
      <xdr:row>117</xdr:row>
      <xdr:rowOff>137324</xdr:rowOff>
    </xdr:from>
    <xdr:to>
      <xdr:col>7</xdr:col>
      <xdr:colOff>425451</xdr:colOff>
      <xdr:row>130</xdr:row>
      <xdr:rowOff>51313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0B757D9-875D-E253-DC11-E50A051C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55901" y="18711074"/>
          <a:ext cx="1936750" cy="1977739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508000</xdr:colOff>
      <xdr:row>133</xdr:row>
      <xdr:rowOff>107950</xdr:rowOff>
    </xdr:from>
    <xdr:to>
      <xdr:col>8</xdr:col>
      <xdr:colOff>602936</xdr:colOff>
      <xdr:row>157</xdr:row>
      <xdr:rowOff>143658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D0FAD1C-02B2-B33E-713C-7A3356C03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46400" y="21221700"/>
          <a:ext cx="2533336" cy="3845708"/>
        </a:xfrm>
        <a:prstGeom prst="rect">
          <a:avLst/>
        </a:prstGeom>
      </xdr:spPr>
    </xdr:pic>
    <xdr:clientData/>
  </xdr:twoCellAnchor>
  <xdr:twoCellAnchor editAs="oneCell">
    <xdr:from>
      <xdr:col>5</xdr:col>
      <xdr:colOff>31751</xdr:colOff>
      <xdr:row>159</xdr:row>
      <xdr:rowOff>156411</xdr:rowOff>
    </xdr:from>
    <xdr:to>
      <xdr:col>8</xdr:col>
      <xdr:colOff>495300</xdr:colOff>
      <xdr:row>175</xdr:row>
      <xdr:rowOff>146812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9D2C8BE-B484-8A86-3BB5-0CD2D754B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79751" y="25397661"/>
          <a:ext cx="2292349" cy="2530401"/>
        </a:xfrm>
        <a:prstGeom prst="rect">
          <a:avLst/>
        </a:prstGeom>
      </xdr:spPr>
    </xdr:pic>
    <xdr:clientData/>
  </xdr:twoCellAnchor>
  <xdr:twoCellAnchor editAs="oneCell">
    <xdr:from>
      <xdr:col>4</xdr:col>
      <xdr:colOff>406401</xdr:colOff>
      <xdr:row>179</xdr:row>
      <xdr:rowOff>44957</xdr:rowOff>
    </xdr:from>
    <xdr:to>
      <xdr:col>10</xdr:col>
      <xdr:colOff>577851</xdr:colOff>
      <xdr:row>188</xdr:row>
      <xdr:rowOff>28919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D453CB1-CA5C-696E-AF9D-0A512286D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44801" y="28461207"/>
          <a:ext cx="3829050" cy="1412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115</v>
      </c>
    </row>
    <row r="2" spans="1:11" ht="15.75" customHeight="1" x14ac:dyDescent="0.25"/>
    <row r="3" spans="1:11" ht="15.75" customHeight="1" x14ac:dyDescent="0.3">
      <c r="B3" s="2" t="s">
        <v>0</v>
      </c>
    </row>
    <row r="4" spans="1:11" ht="15.75" customHeight="1" x14ac:dyDescent="0.35">
      <c r="C4" s="3" t="s">
        <v>1</v>
      </c>
    </row>
    <row r="5" spans="1:11" ht="15.75" customHeight="1" x14ac:dyDescent="0.35">
      <c r="B5" s="4"/>
      <c r="C5" s="3" t="s">
        <v>2</v>
      </c>
    </row>
    <row r="6" spans="1:11" ht="15.75" customHeight="1" x14ac:dyDescent="0.35">
      <c r="B6" s="4"/>
    </row>
    <row r="7" spans="1:11" ht="15.75" customHeight="1" x14ac:dyDescent="0.3">
      <c r="B7" s="2" t="s">
        <v>3</v>
      </c>
    </row>
    <row r="8" spans="1:11" ht="15.75" customHeight="1" x14ac:dyDescent="0.35">
      <c r="C8" s="3" t="s">
        <v>4</v>
      </c>
    </row>
    <row r="9" spans="1:11" ht="15.75" customHeight="1" x14ac:dyDescent="0.35">
      <c r="C9" s="3" t="s">
        <v>5</v>
      </c>
    </row>
    <row r="10" spans="1:11" ht="15.75" customHeight="1" x14ac:dyDescent="0.35">
      <c r="C10" s="3" t="s">
        <v>6</v>
      </c>
    </row>
    <row r="11" spans="1:11" ht="15.75" customHeight="1" x14ac:dyDescent="0.35">
      <c r="B11" s="4"/>
    </row>
    <row r="12" spans="1:11" ht="15.75" customHeight="1" x14ac:dyDescent="0.3">
      <c r="B12" s="2" t="s">
        <v>7</v>
      </c>
    </row>
    <row r="13" spans="1:11" ht="15.75" customHeight="1" x14ac:dyDescent="0.35">
      <c r="B13" s="2"/>
      <c r="C13" s="3" t="s">
        <v>8</v>
      </c>
    </row>
    <row r="14" spans="1:11" ht="15.75" customHeight="1" x14ac:dyDescent="0.25"/>
    <row r="15" spans="1:11" ht="15.75" customHeight="1" x14ac:dyDescent="0.3">
      <c r="B15" s="2" t="s">
        <v>9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10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11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12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13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14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15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16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17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</row>
    <row r="2" spans="1:16" ht="15.75" customHeight="1" x14ac:dyDescent="0.25">
      <c r="A2" s="5" t="s">
        <v>24</v>
      </c>
      <c r="B2" s="5" t="s">
        <v>25</v>
      </c>
      <c r="C2" s="5" t="s">
        <v>26</v>
      </c>
      <c r="D2" s="5">
        <v>1000</v>
      </c>
      <c r="E2" s="5">
        <v>30</v>
      </c>
      <c r="F2" s="5" t="s">
        <v>27</v>
      </c>
    </row>
    <row r="3" spans="1:16" ht="15.75" customHeight="1" x14ac:dyDescent="0.3">
      <c r="A3" s="8" t="s">
        <v>28</v>
      </c>
      <c r="B3" s="8" t="s">
        <v>29</v>
      </c>
      <c r="C3" s="8" t="s">
        <v>30</v>
      </c>
      <c r="D3" s="8">
        <v>80</v>
      </c>
      <c r="E3" s="8">
        <v>15</v>
      </c>
      <c r="F3" s="8" t="s">
        <v>31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32</v>
      </c>
      <c r="B4" s="5" t="s">
        <v>33</v>
      </c>
      <c r="C4" s="5" t="s">
        <v>34</v>
      </c>
      <c r="D4" s="5">
        <v>130</v>
      </c>
      <c r="E4" s="5">
        <v>40</v>
      </c>
      <c r="F4" s="5" t="s">
        <v>35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36</v>
      </c>
      <c r="B5" s="8" t="s">
        <v>37</v>
      </c>
      <c r="C5" s="8" t="s">
        <v>38</v>
      </c>
      <c r="D5" s="8">
        <v>900</v>
      </c>
      <c r="E5" s="8">
        <v>25</v>
      </c>
      <c r="F5" s="8" t="s">
        <v>27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39</v>
      </c>
      <c r="B6" s="5" t="s">
        <v>40</v>
      </c>
      <c r="C6" s="5" t="s">
        <v>41</v>
      </c>
      <c r="D6" s="5">
        <v>70</v>
      </c>
      <c r="E6" s="5">
        <v>20</v>
      </c>
      <c r="F6" s="5"/>
    </row>
    <row r="7" spans="1:16" ht="15.75" customHeight="1" x14ac:dyDescent="0.25">
      <c r="A7" s="8" t="s">
        <v>42</v>
      </c>
      <c r="B7" s="8" t="s">
        <v>43</v>
      </c>
      <c r="C7" s="8" t="s">
        <v>44</v>
      </c>
      <c r="D7" s="8"/>
      <c r="E7" s="8">
        <v>45</v>
      </c>
      <c r="F7" s="8" t="s">
        <v>45</v>
      </c>
    </row>
    <row r="8" spans="1:16" ht="15.75" customHeight="1" x14ac:dyDescent="0.25">
      <c r="A8" s="5" t="s">
        <v>46</v>
      </c>
      <c r="B8" s="5" t="s">
        <v>47</v>
      </c>
      <c r="C8" s="5" t="s">
        <v>48</v>
      </c>
      <c r="D8" s="5">
        <v>30</v>
      </c>
      <c r="E8" s="5">
        <v>5</v>
      </c>
      <c r="F8" s="5" t="s">
        <v>31</v>
      </c>
    </row>
    <row r="9" spans="1:16" ht="15.75" customHeight="1" x14ac:dyDescent="0.25">
      <c r="A9" s="8" t="s">
        <v>49</v>
      </c>
      <c r="B9" s="8" t="s">
        <v>50</v>
      </c>
      <c r="C9" s="8" t="s">
        <v>51</v>
      </c>
      <c r="D9" s="8">
        <v>90</v>
      </c>
      <c r="E9" s="8">
        <v>35</v>
      </c>
      <c r="F9" s="8" t="s">
        <v>35</v>
      </c>
    </row>
    <row r="10" spans="1:16" ht="15.75" customHeight="1" x14ac:dyDescent="0.25">
      <c r="A10" s="5" t="s">
        <v>52</v>
      </c>
      <c r="B10" s="5" t="s">
        <v>53</v>
      </c>
      <c r="C10" s="5" t="s">
        <v>54</v>
      </c>
      <c r="D10" s="5">
        <v>500</v>
      </c>
      <c r="E10" s="5">
        <v>50</v>
      </c>
      <c r="F10" s="5" t="s">
        <v>27</v>
      </c>
    </row>
    <row r="11" spans="1:16" ht="15.75" customHeight="1" x14ac:dyDescent="0.25">
      <c r="A11" s="8" t="s">
        <v>55</v>
      </c>
      <c r="B11" s="8" t="s">
        <v>56</v>
      </c>
      <c r="C11" s="8" t="s">
        <v>57</v>
      </c>
      <c r="D11" s="8">
        <v>130</v>
      </c>
      <c r="E11" s="8">
        <v>10</v>
      </c>
      <c r="F11" s="8" t="s">
        <v>58</v>
      </c>
    </row>
    <row r="12" spans="1:16" ht="15.75" customHeight="1" x14ac:dyDescent="0.25">
      <c r="A12" s="5" t="s">
        <v>59</v>
      </c>
      <c r="B12" s="5" t="s">
        <v>60</v>
      </c>
      <c r="C12" s="5" t="s">
        <v>61</v>
      </c>
      <c r="D12" s="5">
        <v>950</v>
      </c>
      <c r="E12" s="5">
        <v>25</v>
      </c>
      <c r="F12" s="5" t="s">
        <v>27</v>
      </c>
    </row>
    <row r="13" spans="1:16" ht="15.75" customHeight="1" x14ac:dyDescent="0.25">
      <c r="A13" s="8" t="s">
        <v>62</v>
      </c>
      <c r="B13" s="8" t="s">
        <v>29</v>
      </c>
      <c r="C13" s="8" t="s">
        <v>48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63</v>
      </c>
      <c r="B14" s="5" t="s">
        <v>33</v>
      </c>
      <c r="C14" s="5" t="s">
        <v>64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65</v>
      </c>
      <c r="B15" s="8" t="s">
        <v>66</v>
      </c>
      <c r="C15" s="8" t="s">
        <v>67</v>
      </c>
      <c r="D15" s="8">
        <v>150</v>
      </c>
      <c r="E15" s="8">
        <v>15</v>
      </c>
      <c r="F15" s="8" t="s">
        <v>45</v>
      </c>
    </row>
    <row r="16" spans="1:16" ht="15.75" customHeight="1" x14ac:dyDescent="0.25">
      <c r="A16" s="5" t="s">
        <v>68</v>
      </c>
      <c r="B16" s="5" t="s">
        <v>69</v>
      </c>
      <c r="C16" s="5" t="s">
        <v>70</v>
      </c>
      <c r="D16" s="5">
        <v>250</v>
      </c>
      <c r="E16" s="5">
        <v>20</v>
      </c>
      <c r="F16" s="5" t="s">
        <v>45</v>
      </c>
    </row>
    <row r="17" spans="1:6" ht="15.75" customHeight="1" x14ac:dyDescent="0.25">
      <c r="A17" s="8" t="s">
        <v>71</v>
      </c>
      <c r="B17" s="8" t="s">
        <v>72</v>
      </c>
      <c r="C17" s="8" t="s">
        <v>73</v>
      </c>
      <c r="D17" s="8">
        <v>50</v>
      </c>
      <c r="E17" s="8">
        <v>35</v>
      </c>
      <c r="F17" s="8" t="s">
        <v>74</v>
      </c>
    </row>
    <row r="18" spans="1:6" ht="15.75" customHeight="1" x14ac:dyDescent="0.25">
      <c r="A18" s="5" t="s">
        <v>75</v>
      </c>
      <c r="B18" s="5" t="s">
        <v>66</v>
      </c>
      <c r="C18" s="5" t="s">
        <v>76</v>
      </c>
      <c r="D18" s="5">
        <v>160</v>
      </c>
      <c r="E18" s="5">
        <v>15</v>
      </c>
      <c r="F18" s="5" t="s">
        <v>45</v>
      </c>
    </row>
    <row r="19" spans="1:6" ht="15.75" customHeight="1" x14ac:dyDescent="0.25">
      <c r="A19" s="8" t="s">
        <v>77</v>
      </c>
      <c r="B19" s="8" t="s">
        <v>25</v>
      </c>
      <c r="C19" s="8" t="s">
        <v>78</v>
      </c>
      <c r="D19" s="8">
        <v>980</v>
      </c>
      <c r="E19" s="8">
        <v>10</v>
      </c>
      <c r="F19" s="8" t="s">
        <v>27</v>
      </c>
    </row>
    <row r="20" spans="1:6" ht="15.75" customHeight="1" x14ac:dyDescent="0.25">
      <c r="A20" s="5" t="s">
        <v>79</v>
      </c>
      <c r="B20" s="5" t="s">
        <v>80</v>
      </c>
      <c r="C20" s="5" t="s">
        <v>81</v>
      </c>
      <c r="D20" s="5">
        <v>150</v>
      </c>
      <c r="E20" s="5">
        <v>15</v>
      </c>
      <c r="F20" s="5" t="s">
        <v>31</v>
      </c>
    </row>
    <row r="21" spans="1:6" ht="15.75" customHeight="1" x14ac:dyDescent="0.25">
      <c r="A21" s="8" t="s">
        <v>82</v>
      </c>
      <c r="B21" s="8" t="s">
        <v>83</v>
      </c>
      <c r="C21" s="8" t="s">
        <v>84</v>
      </c>
      <c r="D21" s="8"/>
      <c r="E21" s="8">
        <v>10</v>
      </c>
      <c r="F21" s="8" t="s">
        <v>58</v>
      </c>
    </row>
    <row r="22" spans="1:6" ht="15.75" customHeight="1" x14ac:dyDescent="0.25">
      <c r="A22" s="5" t="s">
        <v>85</v>
      </c>
      <c r="B22" s="5" t="s">
        <v>86</v>
      </c>
      <c r="C22" s="5" t="s">
        <v>87</v>
      </c>
      <c r="D22" s="5">
        <v>700</v>
      </c>
      <c r="E22" s="5">
        <v>50</v>
      </c>
      <c r="F22" s="5" t="s">
        <v>27</v>
      </c>
    </row>
    <row r="23" spans="1:6" ht="15.75" customHeight="1" x14ac:dyDescent="0.25">
      <c r="A23" s="8" t="s">
        <v>88</v>
      </c>
      <c r="B23" s="8" t="s">
        <v>89</v>
      </c>
      <c r="C23" s="8" t="s">
        <v>90</v>
      </c>
      <c r="D23" s="8">
        <v>80</v>
      </c>
      <c r="E23" s="8">
        <v>20</v>
      </c>
      <c r="F23" s="8" t="s">
        <v>35</v>
      </c>
    </row>
    <row r="24" spans="1:6" ht="15.75" customHeight="1" x14ac:dyDescent="0.25">
      <c r="A24" s="5" t="s">
        <v>91</v>
      </c>
      <c r="B24" s="5" t="s">
        <v>92</v>
      </c>
      <c r="C24" s="5" t="s">
        <v>93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71</v>
      </c>
      <c r="B25" s="8" t="s">
        <v>72</v>
      </c>
      <c r="C25" s="8" t="s">
        <v>73</v>
      </c>
      <c r="D25" s="8">
        <v>50</v>
      </c>
      <c r="E25" s="8">
        <v>35</v>
      </c>
      <c r="F25" s="8" t="s">
        <v>74</v>
      </c>
    </row>
    <row r="26" spans="1:6" ht="15.75" customHeight="1" x14ac:dyDescent="0.25">
      <c r="A26" s="5" t="s">
        <v>94</v>
      </c>
      <c r="B26" s="5" t="s">
        <v>95</v>
      </c>
      <c r="C26" s="5" t="s">
        <v>96</v>
      </c>
      <c r="D26" s="5">
        <v>800</v>
      </c>
      <c r="E26" s="5">
        <v>45</v>
      </c>
      <c r="F26" s="5" t="s">
        <v>27</v>
      </c>
    </row>
    <row r="27" spans="1:6" ht="15.75" customHeight="1" x14ac:dyDescent="0.25">
      <c r="A27" s="8" t="s">
        <v>97</v>
      </c>
      <c r="B27" s="8" t="s">
        <v>80</v>
      </c>
      <c r="C27" s="8" t="s">
        <v>98</v>
      </c>
      <c r="D27" s="8"/>
      <c r="E27" s="8">
        <v>25</v>
      </c>
      <c r="F27" s="8" t="s">
        <v>31</v>
      </c>
    </row>
    <row r="28" spans="1:6" ht="15.75" customHeight="1" x14ac:dyDescent="0.25">
      <c r="A28" s="5" t="s">
        <v>99</v>
      </c>
      <c r="B28" s="5" t="s">
        <v>50</v>
      </c>
      <c r="C28" s="5" t="s">
        <v>100</v>
      </c>
      <c r="D28" s="5">
        <v>400</v>
      </c>
      <c r="E28" s="5">
        <v>40</v>
      </c>
      <c r="F28" s="5" t="s">
        <v>35</v>
      </c>
    </row>
    <row r="29" spans="1:6" ht="15.75" customHeight="1" x14ac:dyDescent="0.25">
      <c r="A29" s="8" t="s">
        <v>68</v>
      </c>
      <c r="B29" s="8" t="s">
        <v>69</v>
      </c>
      <c r="C29" s="8" t="s">
        <v>70</v>
      </c>
      <c r="D29" s="8">
        <v>250</v>
      </c>
      <c r="E29" s="8">
        <v>20</v>
      </c>
      <c r="F29" s="8" t="s">
        <v>45</v>
      </c>
    </row>
    <row r="30" spans="1:6" ht="15.75" customHeight="1" x14ac:dyDescent="0.25">
      <c r="A30" s="5" t="s">
        <v>101</v>
      </c>
      <c r="B30" s="5" t="s">
        <v>102</v>
      </c>
      <c r="C30" s="5" t="s">
        <v>103</v>
      </c>
      <c r="D30" s="5">
        <v>60</v>
      </c>
      <c r="E30" s="5">
        <v>30</v>
      </c>
      <c r="F30" s="5" t="s">
        <v>31</v>
      </c>
    </row>
    <row r="31" spans="1:6" ht="15.75" customHeight="1" x14ac:dyDescent="0.25">
      <c r="A31" s="8" t="s">
        <v>104</v>
      </c>
      <c r="B31" s="8" t="s">
        <v>105</v>
      </c>
      <c r="C31" s="8" t="s">
        <v>106</v>
      </c>
      <c r="D31" s="8">
        <v>40</v>
      </c>
      <c r="E31" s="8">
        <v>10</v>
      </c>
      <c r="F31" s="8" t="s">
        <v>35</v>
      </c>
    </row>
    <row r="32" spans="1:6" ht="15.75" customHeight="1" x14ac:dyDescent="0.25">
      <c r="A32" s="5" t="s">
        <v>107</v>
      </c>
      <c r="B32" s="5" t="s">
        <v>92</v>
      </c>
      <c r="C32" s="5" t="s">
        <v>108</v>
      </c>
      <c r="D32" s="5">
        <v>130</v>
      </c>
      <c r="E32" s="5">
        <v>5</v>
      </c>
      <c r="F32" s="5" t="s">
        <v>27</v>
      </c>
    </row>
    <row r="33" spans="1:6" ht="15.75" customHeight="1" x14ac:dyDescent="0.25">
      <c r="A33" s="8" t="s">
        <v>109</v>
      </c>
      <c r="B33" s="8" t="s">
        <v>110</v>
      </c>
      <c r="C33" s="8" t="s">
        <v>111</v>
      </c>
      <c r="D33" s="8">
        <v>50</v>
      </c>
      <c r="E33" s="8">
        <v>50</v>
      </c>
      <c r="F33" s="8" t="s">
        <v>31</v>
      </c>
    </row>
    <row r="34" spans="1:6" ht="15.75" customHeight="1" x14ac:dyDescent="0.25">
      <c r="A34" s="5" t="s">
        <v>59</v>
      </c>
      <c r="B34" s="5" t="s">
        <v>60</v>
      </c>
      <c r="C34" s="5" t="s">
        <v>61</v>
      </c>
      <c r="D34" s="5">
        <v>950</v>
      </c>
      <c r="E34" s="5">
        <v>25</v>
      </c>
      <c r="F34" s="5" t="s">
        <v>27</v>
      </c>
    </row>
    <row r="35" spans="1:6" ht="15.75" customHeight="1" x14ac:dyDescent="0.25">
      <c r="A35" s="8" t="s">
        <v>112</v>
      </c>
      <c r="B35" s="8" t="s">
        <v>113</v>
      </c>
      <c r="C35" s="8" t="s">
        <v>114</v>
      </c>
      <c r="D35" s="8">
        <v>100</v>
      </c>
      <c r="E35" s="8">
        <v>20</v>
      </c>
      <c r="F35" s="8" t="s">
        <v>74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27D4-F54A-4EBA-ABAA-015493649269}">
  <dimension ref="A1:N32"/>
  <sheetViews>
    <sheetView topLeftCell="B1" zoomScale="83" zoomScaleNormal="83" workbookViewId="0">
      <selection activeCell="G1" sqref="G1"/>
    </sheetView>
  </sheetViews>
  <sheetFormatPr defaultRowHeight="12.5" x14ac:dyDescent="0.25"/>
  <cols>
    <col min="1" max="2" width="12.1796875" customWidth="1"/>
    <col min="3" max="3" width="19" style="19" customWidth="1"/>
    <col min="4" max="4" width="24.08984375" customWidth="1"/>
    <col min="5" max="5" width="17.08984375" customWidth="1"/>
    <col min="6" max="6" width="13.453125" customWidth="1"/>
    <col min="7" max="7" width="17" customWidth="1"/>
    <col min="8" max="8" width="14.81640625" style="14" customWidth="1"/>
    <col min="10" max="10" width="13.7265625" customWidth="1"/>
    <col min="11" max="11" width="17.453125" customWidth="1"/>
    <col min="12" max="12" width="17.81640625" customWidth="1"/>
    <col min="13" max="13" width="15.453125" customWidth="1"/>
  </cols>
  <sheetData>
    <row r="1" spans="1:14" ht="13" x14ac:dyDescent="0.3">
      <c r="A1" s="7" t="s">
        <v>18</v>
      </c>
      <c r="B1" s="7" t="s">
        <v>129</v>
      </c>
      <c r="C1" s="15" t="s">
        <v>140</v>
      </c>
      <c r="D1" s="7" t="s">
        <v>19</v>
      </c>
      <c r="E1" s="7" t="s">
        <v>131</v>
      </c>
      <c r="F1" s="7" t="s">
        <v>20</v>
      </c>
      <c r="G1" s="22" t="s">
        <v>176</v>
      </c>
      <c r="H1" s="11" t="s">
        <v>21</v>
      </c>
      <c r="I1" s="7" t="s">
        <v>22</v>
      </c>
      <c r="J1" s="7" t="s">
        <v>23</v>
      </c>
      <c r="K1" s="5" t="s">
        <v>130</v>
      </c>
      <c r="L1" s="7"/>
      <c r="M1" s="7"/>
    </row>
    <row r="2" spans="1:14" x14ac:dyDescent="0.25">
      <c r="A2" s="5" t="s">
        <v>24</v>
      </c>
      <c r="B2" s="5" t="s">
        <v>117</v>
      </c>
      <c r="C2" s="16">
        <v>46050</v>
      </c>
      <c r="D2" s="5" t="s">
        <v>60</v>
      </c>
      <c r="E2" s="5" t="s">
        <v>60</v>
      </c>
      <c r="F2" s="5" t="s">
        <v>26</v>
      </c>
      <c r="G2" s="21" t="s">
        <v>145</v>
      </c>
      <c r="H2" s="12">
        <v>1000</v>
      </c>
      <c r="I2" s="5">
        <v>30</v>
      </c>
      <c r="J2" s="5" t="s">
        <v>27</v>
      </c>
      <c r="K2" s="5">
        <f>IF(ISBLANK(H2),MEDIAN(H2:H35),H2)</f>
        <v>1000</v>
      </c>
    </row>
    <row r="3" spans="1:14" x14ac:dyDescent="0.25">
      <c r="A3" s="8" t="s">
        <v>28</v>
      </c>
      <c r="B3" s="5" t="s">
        <v>117</v>
      </c>
      <c r="C3" s="17">
        <v>46068</v>
      </c>
      <c r="D3" s="8" t="s">
        <v>29</v>
      </c>
      <c r="E3" s="5" t="s">
        <v>29</v>
      </c>
      <c r="F3" s="8" t="s">
        <v>30</v>
      </c>
      <c r="G3" s="21" t="s">
        <v>146</v>
      </c>
      <c r="H3" s="13">
        <v>80</v>
      </c>
      <c r="I3" s="8">
        <v>15</v>
      </c>
      <c r="J3" s="8" t="s">
        <v>31</v>
      </c>
      <c r="K3" s="5">
        <f>IF(ISBLANK(H3),MEDIAN(H3:H36),H3)</f>
        <v>80</v>
      </c>
    </row>
    <row r="4" spans="1:14" x14ac:dyDescent="0.25">
      <c r="A4" s="5" t="s">
        <v>32</v>
      </c>
      <c r="B4" s="5" t="s">
        <v>117</v>
      </c>
      <c r="C4" s="18">
        <v>46084</v>
      </c>
      <c r="D4" s="5" t="s">
        <v>33</v>
      </c>
      <c r="E4" s="5" t="s">
        <v>33</v>
      </c>
      <c r="F4" s="5" t="s">
        <v>34</v>
      </c>
      <c r="G4" s="21" t="s">
        <v>147</v>
      </c>
      <c r="H4" s="12">
        <v>130</v>
      </c>
      <c r="I4" s="5">
        <v>40</v>
      </c>
      <c r="J4" s="5" t="s">
        <v>35</v>
      </c>
      <c r="K4" s="5">
        <f>IF(ISBLANK(H4),MEDIAN(H4:H37),H4)</f>
        <v>130</v>
      </c>
      <c r="N4" s="9"/>
    </row>
    <row r="5" spans="1:14" x14ac:dyDescent="0.25">
      <c r="A5" s="8" t="s">
        <v>36</v>
      </c>
      <c r="B5" s="5" t="s">
        <v>117</v>
      </c>
      <c r="C5" s="17">
        <v>46123</v>
      </c>
      <c r="D5" s="8" t="s">
        <v>95</v>
      </c>
      <c r="E5" s="5" t="s">
        <v>95</v>
      </c>
      <c r="F5" s="8" t="s">
        <v>38</v>
      </c>
      <c r="G5" s="21" t="s">
        <v>148</v>
      </c>
      <c r="H5" s="13">
        <v>900</v>
      </c>
      <c r="I5" s="8">
        <v>25</v>
      </c>
      <c r="J5" s="8" t="s">
        <v>27</v>
      </c>
      <c r="K5" s="5">
        <f>IF(ISBLANK(H5),MEDIAN(H5:H38),H5)</f>
        <v>900</v>
      </c>
    </row>
    <row r="6" spans="1:14" x14ac:dyDescent="0.25">
      <c r="A6" s="5" t="s">
        <v>39</v>
      </c>
      <c r="B6" s="5" t="s">
        <v>117</v>
      </c>
      <c r="C6" s="18">
        <v>46164</v>
      </c>
      <c r="D6" s="5" t="s">
        <v>40</v>
      </c>
      <c r="E6" s="5" t="s">
        <v>40</v>
      </c>
      <c r="F6" s="5" t="s">
        <v>41</v>
      </c>
      <c r="G6" s="21" t="s">
        <v>149</v>
      </c>
      <c r="H6" s="12">
        <v>70</v>
      </c>
      <c r="I6" s="5">
        <v>20</v>
      </c>
      <c r="J6" s="5" t="s">
        <v>133</v>
      </c>
      <c r="K6" s="5">
        <f>IF(ISBLANK(H6),MEDIAN(H6:H39),H6)</f>
        <v>70</v>
      </c>
    </row>
    <row r="7" spans="1:14" x14ac:dyDescent="0.25">
      <c r="A7" s="8" t="s">
        <v>42</v>
      </c>
      <c r="B7" s="5" t="s">
        <v>118</v>
      </c>
      <c r="C7" s="17">
        <v>46180</v>
      </c>
      <c r="D7" s="8" t="s">
        <v>43</v>
      </c>
      <c r="E7" s="5" t="s">
        <v>43</v>
      </c>
      <c r="F7" s="8" t="s">
        <v>44</v>
      </c>
      <c r="G7" s="21" t="s">
        <v>150</v>
      </c>
      <c r="H7" s="13"/>
      <c r="I7" s="8">
        <v>45</v>
      </c>
      <c r="J7" s="8" t="s">
        <v>27</v>
      </c>
      <c r="K7" s="5">
        <f>IF(ISBLANK(H7),MEDIAN(H7:H40),H7)</f>
        <v>130</v>
      </c>
    </row>
    <row r="8" spans="1:14" x14ac:dyDescent="0.25">
      <c r="A8" s="5" t="s">
        <v>46</v>
      </c>
      <c r="B8" s="5" t="s">
        <v>118</v>
      </c>
      <c r="C8" s="18">
        <v>46222</v>
      </c>
      <c r="D8" s="5" t="s">
        <v>47</v>
      </c>
      <c r="E8" s="5" t="s">
        <v>132</v>
      </c>
      <c r="F8" s="5" t="s">
        <v>48</v>
      </c>
      <c r="G8" s="21" t="s">
        <v>151</v>
      </c>
      <c r="H8" s="12">
        <v>30</v>
      </c>
      <c r="I8" s="5">
        <v>5</v>
      </c>
      <c r="J8" s="5" t="s">
        <v>31</v>
      </c>
      <c r="K8" s="5">
        <f>IF(ISBLANK(H8),MEDIAN(H8:H41),H8)</f>
        <v>30</v>
      </c>
    </row>
    <row r="9" spans="1:14" x14ac:dyDescent="0.25">
      <c r="A9" s="8" t="s">
        <v>49</v>
      </c>
      <c r="B9" s="5" t="s">
        <v>118</v>
      </c>
      <c r="C9" s="17">
        <v>46257</v>
      </c>
      <c r="D9" s="8" t="s">
        <v>50</v>
      </c>
      <c r="E9" s="5" t="s">
        <v>50</v>
      </c>
      <c r="F9" s="8" t="s">
        <v>51</v>
      </c>
      <c r="G9" s="21" t="s">
        <v>152</v>
      </c>
      <c r="H9" s="13">
        <v>90</v>
      </c>
      <c r="I9" s="8">
        <v>35</v>
      </c>
      <c r="J9" s="8" t="s">
        <v>35</v>
      </c>
      <c r="K9" s="5">
        <f>IF(ISBLANK(H9),MEDIAN(H9:H42),H9)</f>
        <v>90</v>
      </c>
    </row>
    <row r="10" spans="1:14" x14ac:dyDescent="0.25">
      <c r="A10" s="5" t="s">
        <v>52</v>
      </c>
      <c r="B10" s="5" t="s">
        <v>118</v>
      </c>
      <c r="C10" s="18">
        <v>46270</v>
      </c>
      <c r="D10" s="5" t="s">
        <v>53</v>
      </c>
      <c r="E10" s="5" t="s">
        <v>53</v>
      </c>
      <c r="F10" s="5" t="s">
        <v>54</v>
      </c>
      <c r="G10" s="21" t="s">
        <v>153</v>
      </c>
      <c r="H10" s="12">
        <v>500</v>
      </c>
      <c r="I10" s="5">
        <v>50</v>
      </c>
      <c r="J10" s="5" t="s">
        <v>27</v>
      </c>
      <c r="K10" s="5">
        <f>IF(ISBLANK(H10),MEDIAN(H10:H43),H10)</f>
        <v>500</v>
      </c>
    </row>
    <row r="11" spans="1:14" x14ac:dyDescent="0.25">
      <c r="A11" s="8" t="s">
        <v>55</v>
      </c>
      <c r="B11" s="5" t="s">
        <v>118</v>
      </c>
      <c r="C11" s="17">
        <v>46309</v>
      </c>
      <c r="D11" s="8" t="s">
        <v>56</v>
      </c>
      <c r="E11" s="5" t="s">
        <v>56</v>
      </c>
      <c r="F11" s="8" t="s">
        <v>57</v>
      </c>
      <c r="G11" s="21" t="s">
        <v>154</v>
      </c>
      <c r="H11" s="13">
        <v>130</v>
      </c>
      <c r="I11" s="8">
        <v>10</v>
      </c>
      <c r="J11" s="8" t="s">
        <v>58</v>
      </c>
      <c r="K11" s="5">
        <f>IF(ISBLANK(H11),MEDIAN(H11:H44),H11)</f>
        <v>130</v>
      </c>
    </row>
    <row r="12" spans="1:14" x14ac:dyDescent="0.25">
      <c r="A12" s="5" t="s">
        <v>59</v>
      </c>
      <c r="B12" s="5" t="s">
        <v>119</v>
      </c>
      <c r="C12" s="18">
        <v>46190</v>
      </c>
      <c r="D12" s="5" t="s">
        <v>60</v>
      </c>
      <c r="E12" s="5" t="s">
        <v>60</v>
      </c>
      <c r="F12" s="5" t="s">
        <v>61</v>
      </c>
      <c r="G12" s="21" t="s">
        <v>155</v>
      </c>
      <c r="H12" s="12">
        <v>950</v>
      </c>
      <c r="I12" s="5">
        <v>25</v>
      </c>
      <c r="J12" s="5" t="s">
        <v>27</v>
      </c>
      <c r="K12" s="5">
        <f>IF(ISBLANK(H12),MEDIAN(H12:H45),H12)</f>
        <v>950</v>
      </c>
    </row>
    <row r="13" spans="1:14" x14ac:dyDescent="0.25">
      <c r="A13" s="8" t="s">
        <v>62</v>
      </c>
      <c r="B13" s="5" t="s">
        <v>120</v>
      </c>
      <c r="C13" s="17">
        <v>46351</v>
      </c>
      <c r="D13" s="8" t="s">
        <v>29</v>
      </c>
      <c r="E13" s="5" t="s">
        <v>29</v>
      </c>
      <c r="F13" s="8" t="s">
        <v>48</v>
      </c>
      <c r="G13" s="21" t="s">
        <v>156</v>
      </c>
      <c r="H13" s="13">
        <v>90</v>
      </c>
      <c r="I13" s="8">
        <v>40</v>
      </c>
      <c r="J13" s="8" t="s">
        <v>133</v>
      </c>
      <c r="K13" s="5">
        <f>IF(ISBLANK(H13),MEDIAN(H13:H46),H13)</f>
        <v>90</v>
      </c>
    </row>
    <row r="14" spans="1:14" x14ac:dyDescent="0.25">
      <c r="A14" s="5" t="s">
        <v>63</v>
      </c>
      <c r="B14" s="5" t="s">
        <v>121</v>
      </c>
      <c r="C14" s="18">
        <v>46364</v>
      </c>
      <c r="D14" s="5" t="s">
        <v>33</v>
      </c>
      <c r="E14" s="5" t="s">
        <v>33</v>
      </c>
      <c r="F14" s="5" t="s">
        <v>64</v>
      </c>
      <c r="G14" s="21" t="s">
        <v>157</v>
      </c>
      <c r="H14" s="12">
        <v>120</v>
      </c>
      <c r="I14" s="5">
        <v>35</v>
      </c>
      <c r="J14" s="5" t="s">
        <v>133</v>
      </c>
      <c r="K14" s="5">
        <f>IF(ISBLANK(H14),MEDIAN(H14:H47),H14)</f>
        <v>120</v>
      </c>
    </row>
    <row r="15" spans="1:14" x14ac:dyDescent="0.25">
      <c r="A15" s="8" t="s">
        <v>65</v>
      </c>
      <c r="B15" s="5" t="s">
        <v>122</v>
      </c>
      <c r="C15" s="17">
        <v>46071</v>
      </c>
      <c r="D15" s="8" t="s">
        <v>66</v>
      </c>
      <c r="E15" s="5" t="s">
        <v>66</v>
      </c>
      <c r="F15" s="8" t="s">
        <v>67</v>
      </c>
      <c r="G15" s="21" t="s">
        <v>158</v>
      </c>
      <c r="H15" s="13">
        <v>150</v>
      </c>
      <c r="I15" s="8">
        <v>15</v>
      </c>
      <c r="J15" s="8" t="s">
        <v>27</v>
      </c>
      <c r="K15" s="5">
        <f>IF(ISBLANK(H15),MEDIAN(H15:H48),H15)</f>
        <v>150</v>
      </c>
    </row>
    <row r="16" spans="1:14" x14ac:dyDescent="0.25">
      <c r="A16" s="5" t="s">
        <v>68</v>
      </c>
      <c r="B16" s="5" t="s">
        <v>123</v>
      </c>
      <c r="C16" s="18">
        <v>46128</v>
      </c>
      <c r="D16" s="5" t="s">
        <v>43</v>
      </c>
      <c r="E16" s="5" t="s">
        <v>43</v>
      </c>
      <c r="F16" s="5" t="s">
        <v>70</v>
      </c>
      <c r="G16" s="21" t="s">
        <v>159</v>
      </c>
      <c r="H16" s="12">
        <v>250</v>
      </c>
      <c r="I16" s="5">
        <v>20</v>
      </c>
      <c r="J16" s="5" t="s">
        <v>27</v>
      </c>
      <c r="K16" s="5">
        <f>IF(ISBLANK(H16),MEDIAN(H16:H49),H16)</f>
        <v>250</v>
      </c>
    </row>
    <row r="17" spans="1:11" x14ac:dyDescent="0.25">
      <c r="A17" s="8" t="s">
        <v>71</v>
      </c>
      <c r="B17" s="5" t="s">
        <v>122</v>
      </c>
      <c r="C17" s="17">
        <v>46255</v>
      </c>
      <c r="D17" s="8" t="s">
        <v>72</v>
      </c>
      <c r="E17" s="5" t="s">
        <v>72</v>
      </c>
      <c r="F17" s="8" t="s">
        <v>73</v>
      </c>
      <c r="G17" s="21" t="s">
        <v>160</v>
      </c>
      <c r="H17" s="13">
        <v>50</v>
      </c>
      <c r="I17" s="8">
        <v>35</v>
      </c>
      <c r="J17" s="8" t="s">
        <v>74</v>
      </c>
      <c r="K17" s="5">
        <f>IF(ISBLANK(H17),MEDIAN(H17:H50),H17)</f>
        <v>50</v>
      </c>
    </row>
    <row r="18" spans="1:11" x14ac:dyDescent="0.25">
      <c r="A18" s="5" t="s">
        <v>75</v>
      </c>
      <c r="B18" s="5" t="s">
        <v>124</v>
      </c>
      <c r="C18" s="18">
        <v>46254</v>
      </c>
      <c r="D18" s="5" t="s">
        <v>66</v>
      </c>
      <c r="E18" s="5" t="s">
        <v>66</v>
      </c>
      <c r="F18" s="5" t="s">
        <v>76</v>
      </c>
      <c r="G18" s="21" t="s">
        <v>161</v>
      </c>
      <c r="H18" s="12">
        <v>160</v>
      </c>
      <c r="I18" s="5">
        <v>15</v>
      </c>
      <c r="J18" s="5" t="s">
        <v>27</v>
      </c>
      <c r="K18" s="5">
        <f>IF(ISBLANK(H18),MEDIAN(H18:H51),H18)</f>
        <v>160</v>
      </c>
    </row>
    <row r="19" spans="1:11" x14ac:dyDescent="0.25">
      <c r="A19" s="8" t="s">
        <v>77</v>
      </c>
      <c r="B19" s="5" t="s">
        <v>125</v>
      </c>
      <c r="C19" s="17">
        <v>46049</v>
      </c>
      <c r="D19" s="8" t="s">
        <v>60</v>
      </c>
      <c r="E19" s="5" t="s">
        <v>60</v>
      </c>
      <c r="F19" s="8" t="s">
        <v>78</v>
      </c>
      <c r="G19" s="21" t="s">
        <v>162</v>
      </c>
      <c r="H19" s="13">
        <v>980</v>
      </c>
      <c r="I19" s="8">
        <v>10</v>
      </c>
      <c r="J19" s="8" t="s">
        <v>27</v>
      </c>
      <c r="K19" s="5">
        <f>IF(ISBLANK(H19),MEDIAN(H19:H52),H19)</f>
        <v>980</v>
      </c>
    </row>
    <row r="20" spans="1:11" x14ac:dyDescent="0.25">
      <c r="A20" s="5" t="s">
        <v>79</v>
      </c>
      <c r="B20" s="5" t="s">
        <v>118</v>
      </c>
      <c r="C20" s="18">
        <v>46082</v>
      </c>
      <c r="D20" s="5" t="s">
        <v>80</v>
      </c>
      <c r="E20" s="5" t="s">
        <v>80</v>
      </c>
      <c r="F20" s="5" t="s">
        <v>81</v>
      </c>
      <c r="G20" s="21" t="s">
        <v>163</v>
      </c>
      <c r="H20" s="12">
        <v>150</v>
      </c>
      <c r="I20" s="5">
        <v>15</v>
      </c>
      <c r="J20" s="5" t="s">
        <v>31</v>
      </c>
      <c r="K20" s="5">
        <f>IF(ISBLANK(H20),MEDIAN(H20:H53),H20)</f>
        <v>150</v>
      </c>
    </row>
    <row r="21" spans="1:11" x14ac:dyDescent="0.25">
      <c r="A21" s="8" t="s">
        <v>82</v>
      </c>
      <c r="B21" s="5" t="s">
        <v>117</v>
      </c>
      <c r="C21" s="17">
        <v>46248</v>
      </c>
      <c r="D21" s="8" t="s">
        <v>83</v>
      </c>
      <c r="E21" s="5" t="s">
        <v>83</v>
      </c>
      <c r="F21" s="8" t="s">
        <v>84</v>
      </c>
      <c r="G21" s="21" t="s">
        <v>164</v>
      </c>
      <c r="H21" s="13"/>
      <c r="I21" s="8">
        <v>10</v>
      </c>
      <c r="J21" s="8" t="s">
        <v>58</v>
      </c>
      <c r="K21" s="5">
        <f>IF(ISBLANK(H21),MEDIAN(H21:H54),H21)</f>
        <v>115</v>
      </c>
    </row>
    <row r="22" spans="1:11" x14ac:dyDescent="0.25">
      <c r="A22" s="5" t="s">
        <v>85</v>
      </c>
      <c r="B22" s="5" t="s">
        <v>126</v>
      </c>
      <c r="C22" s="18">
        <v>46156</v>
      </c>
      <c r="D22" s="5" t="s">
        <v>86</v>
      </c>
      <c r="E22" s="5" t="s">
        <v>86</v>
      </c>
      <c r="F22" s="5" t="s">
        <v>87</v>
      </c>
      <c r="G22" s="21" t="s">
        <v>165</v>
      </c>
      <c r="H22" s="12">
        <v>700</v>
      </c>
      <c r="I22" s="5">
        <v>50</v>
      </c>
      <c r="J22" s="5" t="s">
        <v>27</v>
      </c>
      <c r="K22" s="5">
        <f>IF(ISBLANK(H22),MEDIAN(H22:H55),H22)</f>
        <v>700</v>
      </c>
    </row>
    <row r="23" spans="1:11" x14ac:dyDescent="0.25">
      <c r="A23" s="8" t="s">
        <v>88</v>
      </c>
      <c r="B23" s="5" t="s">
        <v>122</v>
      </c>
      <c r="C23" s="17">
        <v>46031</v>
      </c>
      <c r="D23" s="8" t="s">
        <v>89</v>
      </c>
      <c r="E23" s="5" t="s">
        <v>89</v>
      </c>
      <c r="F23" s="8" t="s">
        <v>90</v>
      </c>
      <c r="G23" s="21" t="s">
        <v>166</v>
      </c>
      <c r="H23" s="13">
        <v>80</v>
      </c>
      <c r="I23" s="8">
        <v>20</v>
      </c>
      <c r="J23" s="8" t="s">
        <v>35</v>
      </c>
      <c r="K23" s="5">
        <f>IF(ISBLANK(H23),MEDIAN(H23:H56),H23)</f>
        <v>80</v>
      </c>
    </row>
    <row r="24" spans="1:11" x14ac:dyDescent="0.25">
      <c r="A24" s="5" t="s">
        <v>91</v>
      </c>
      <c r="B24" s="5" t="s">
        <v>127</v>
      </c>
      <c r="C24" s="18">
        <v>46222</v>
      </c>
      <c r="D24" s="5" t="s">
        <v>92</v>
      </c>
      <c r="E24" s="5" t="s">
        <v>92</v>
      </c>
      <c r="F24" s="5" t="s">
        <v>93</v>
      </c>
      <c r="G24" s="21" t="s">
        <v>167</v>
      </c>
      <c r="H24" s="12">
        <v>150</v>
      </c>
      <c r="I24" s="5">
        <v>30</v>
      </c>
      <c r="J24" s="5" t="s">
        <v>133</v>
      </c>
      <c r="K24" s="5">
        <f>IF(ISBLANK(H24),MEDIAN(H24:H57),H24)</f>
        <v>150</v>
      </c>
    </row>
    <row r="25" spans="1:11" x14ac:dyDescent="0.25">
      <c r="A25" s="5" t="s">
        <v>94</v>
      </c>
      <c r="B25" s="5" t="s">
        <v>122</v>
      </c>
      <c r="C25" s="18">
        <v>46294</v>
      </c>
      <c r="D25" s="5" t="s">
        <v>95</v>
      </c>
      <c r="E25" s="5" t="s">
        <v>95</v>
      </c>
      <c r="F25" s="5" t="s">
        <v>96</v>
      </c>
      <c r="G25" s="21" t="s">
        <v>168</v>
      </c>
      <c r="H25" s="12">
        <v>800</v>
      </c>
      <c r="I25" s="5">
        <v>45</v>
      </c>
      <c r="J25" s="5" t="s">
        <v>27</v>
      </c>
      <c r="K25" s="5">
        <f>IF(ISBLANK(H25),MEDIAN(H25:H58),H25)</f>
        <v>800</v>
      </c>
    </row>
    <row r="26" spans="1:11" x14ac:dyDescent="0.25">
      <c r="A26" s="8" t="s">
        <v>97</v>
      </c>
      <c r="B26" s="5" t="s">
        <v>122</v>
      </c>
      <c r="C26" s="17">
        <v>46176</v>
      </c>
      <c r="D26" s="8" t="s">
        <v>80</v>
      </c>
      <c r="E26" s="5" t="s">
        <v>80</v>
      </c>
      <c r="F26" s="8" t="s">
        <v>98</v>
      </c>
      <c r="G26" s="21" t="s">
        <v>169</v>
      </c>
      <c r="H26" s="13"/>
      <c r="I26" s="8">
        <v>25</v>
      </c>
      <c r="J26" s="8" t="s">
        <v>31</v>
      </c>
      <c r="K26" s="5">
        <f>IF(ISBLANK(H26),MEDIAN(H26:H59),H26)</f>
        <v>80</v>
      </c>
    </row>
    <row r="27" spans="1:11" x14ac:dyDescent="0.25">
      <c r="A27" s="5" t="s">
        <v>99</v>
      </c>
      <c r="B27" s="5" t="s">
        <v>122</v>
      </c>
      <c r="C27" s="18">
        <v>46214</v>
      </c>
      <c r="D27" s="5" t="s">
        <v>50</v>
      </c>
      <c r="E27" s="5" t="s">
        <v>50</v>
      </c>
      <c r="F27" s="5" t="s">
        <v>100</v>
      </c>
      <c r="G27" s="21" t="s">
        <v>170</v>
      </c>
      <c r="H27" s="12">
        <v>400</v>
      </c>
      <c r="I27" s="5">
        <v>40</v>
      </c>
      <c r="J27" s="5" t="s">
        <v>35</v>
      </c>
      <c r="K27" s="5">
        <f>IF(ISBLANK(H27),MEDIAN(H27:H60),H27)</f>
        <v>400</v>
      </c>
    </row>
    <row r="28" spans="1:11" x14ac:dyDescent="0.25">
      <c r="A28" s="5" t="s">
        <v>101</v>
      </c>
      <c r="B28" s="5" t="s">
        <v>122</v>
      </c>
      <c r="C28" s="18">
        <v>46088</v>
      </c>
      <c r="D28" s="5" t="s">
        <v>102</v>
      </c>
      <c r="E28" s="5" t="s">
        <v>102</v>
      </c>
      <c r="F28" s="5" t="s">
        <v>103</v>
      </c>
      <c r="G28" s="21" t="s">
        <v>171</v>
      </c>
      <c r="H28" s="12">
        <v>60</v>
      </c>
      <c r="I28" s="5">
        <v>30</v>
      </c>
      <c r="J28" s="5" t="s">
        <v>31</v>
      </c>
      <c r="K28" s="5">
        <f>IF(ISBLANK(H28),MEDIAN(H28:H61),H28)</f>
        <v>60</v>
      </c>
    </row>
    <row r="29" spans="1:11" x14ac:dyDescent="0.25">
      <c r="A29" s="8" t="s">
        <v>104</v>
      </c>
      <c r="B29" s="5" t="s">
        <v>122</v>
      </c>
      <c r="C29" s="17">
        <v>46125</v>
      </c>
      <c r="D29" s="8" t="s">
        <v>105</v>
      </c>
      <c r="E29" s="5" t="s">
        <v>105</v>
      </c>
      <c r="F29" s="8" t="s">
        <v>106</v>
      </c>
      <c r="G29" s="21" t="s">
        <v>172</v>
      </c>
      <c r="H29" s="13">
        <v>40</v>
      </c>
      <c r="I29" s="8">
        <v>10</v>
      </c>
      <c r="J29" s="8" t="s">
        <v>35</v>
      </c>
      <c r="K29" s="5">
        <f>IF(ISBLANK(H29),MEDIAN(H29:H62),H29)</f>
        <v>40</v>
      </c>
    </row>
    <row r="30" spans="1:11" x14ac:dyDescent="0.25">
      <c r="A30" s="5" t="s">
        <v>107</v>
      </c>
      <c r="B30" s="5" t="s">
        <v>122</v>
      </c>
      <c r="C30" s="18">
        <v>46166</v>
      </c>
      <c r="D30" s="5" t="s">
        <v>92</v>
      </c>
      <c r="E30" s="5" t="s">
        <v>92</v>
      </c>
      <c r="F30" s="5" t="s">
        <v>108</v>
      </c>
      <c r="G30" s="21" t="s">
        <v>173</v>
      </c>
      <c r="H30" s="12">
        <v>130</v>
      </c>
      <c r="I30" s="5">
        <v>5</v>
      </c>
      <c r="J30" s="5" t="s">
        <v>27</v>
      </c>
      <c r="K30" s="5">
        <f>IF(ISBLANK(H30),MEDIAN(H30:H63),H30)</f>
        <v>130</v>
      </c>
    </row>
    <row r="31" spans="1:11" x14ac:dyDescent="0.25">
      <c r="A31" s="8" t="s">
        <v>109</v>
      </c>
      <c r="B31" s="5" t="s">
        <v>122</v>
      </c>
      <c r="C31" s="17">
        <v>46358</v>
      </c>
      <c r="D31" s="8" t="s">
        <v>110</v>
      </c>
      <c r="E31" s="5" t="s">
        <v>110</v>
      </c>
      <c r="F31" s="8" t="s">
        <v>111</v>
      </c>
      <c r="G31" s="21" t="s">
        <v>174</v>
      </c>
      <c r="H31" s="13">
        <v>50</v>
      </c>
      <c r="I31" s="8">
        <v>50</v>
      </c>
      <c r="J31" s="8" t="s">
        <v>31</v>
      </c>
      <c r="K31" s="5">
        <f>IF(ISBLANK(H31),MEDIAN(H31:H64),H31)</f>
        <v>50</v>
      </c>
    </row>
    <row r="32" spans="1:11" x14ac:dyDescent="0.25">
      <c r="A32" s="8" t="s">
        <v>112</v>
      </c>
      <c r="B32" s="5" t="s">
        <v>128</v>
      </c>
      <c r="C32" s="17">
        <v>46212</v>
      </c>
      <c r="D32" s="8" t="s">
        <v>113</v>
      </c>
      <c r="E32" s="5" t="s">
        <v>113</v>
      </c>
      <c r="F32" s="8" t="s">
        <v>114</v>
      </c>
      <c r="G32" s="21" t="s">
        <v>175</v>
      </c>
      <c r="H32" s="13">
        <v>100</v>
      </c>
      <c r="I32" s="8">
        <v>20</v>
      </c>
      <c r="J32" s="8" t="s">
        <v>74</v>
      </c>
      <c r="K32" s="5">
        <f>IF(ISBLANK(H32),MEDIAN(H32:H65),H32)</f>
        <v>100</v>
      </c>
    </row>
  </sheetData>
  <autoFilter ref="A1:P32" xr:uid="{C59727D4-F54A-4EBA-ABAA-015493649269}"/>
  <conditionalFormatting sqref="H1:H1048576">
    <cfRule type="colorScale" priority="3">
      <colorScale>
        <cfvo type="min"/>
        <cfvo type="max"/>
        <color theme="6" tint="0.79998168889431442"/>
        <color theme="6"/>
      </colorScale>
    </cfRule>
  </conditionalFormatting>
  <conditionalFormatting sqref="J1:J1048576">
    <cfRule type="containsText" dxfId="0" priority="1" operator="containsText" text="Electronics">
      <formula>NOT(ISERROR(SEARCH("Electronics",J1)))</formula>
    </cfRule>
    <cfRule type="containsText" priority="2" operator="containsText" text="Electronics">
      <formula>NOT(ISERROR(SEARCH("Electronics",J1)))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055C-0F63-4175-8B6B-794738207381}">
  <dimension ref="B3:M182"/>
  <sheetViews>
    <sheetView tabSelected="1" workbookViewId="0">
      <selection activeCell="D115" sqref="D115"/>
    </sheetView>
  </sheetViews>
  <sheetFormatPr defaultRowHeight="12.5" x14ac:dyDescent="0.25"/>
  <sheetData>
    <row r="3" spans="2:13" x14ac:dyDescent="0.25">
      <c r="B3">
        <v>1</v>
      </c>
    </row>
    <row r="5" spans="2:13" x14ac:dyDescent="0.25">
      <c r="H5" s="9"/>
    </row>
    <row r="8" spans="2:13" x14ac:dyDescent="0.25">
      <c r="C8" s="9"/>
      <c r="D8" s="9"/>
      <c r="E8" s="9"/>
      <c r="F8" s="9"/>
      <c r="H8" s="10"/>
      <c r="I8" s="10"/>
      <c r="J8" s="10"/>
      <c r="K8" s="10"/>
    </row>
    <row r="9" spans="2:13" x14ac:dyDescent="0.25">
      <c r="M9" t="s">
        <v>134</v>
      </c>
    </row>
    <row r="13" spans="2:13" x14ac:dyDescent="0.25"/>
    <row r="19" spans="2:7" x14ac:dyDescent="0.25">
      <c r="B19">
        <v>2</v>
      </c>
      <c r="C19" t="s">
        <v>135</v>
      </c>
    </row>
    <row r="27" spans="2:7" x14ac:dyDescent="0.25">
      <c r="G27" t="s">
        <v>116</v>
      </c>
    </row>
    <row r="47" spans="8:8" x14ac:dyDescent="0.25">
      <c r="H47" t="s">
        <v>136</v>
      </c>
    </row>
    <row r="92" spans="3:4" x14ac:dyDescent="0.25">
      <c r="C92">
        <v>3</v>
      </c>
      <c r="D92" t="s">
        <v>137</v>
      </c>
    </row>
    <row r="111" spans="3:3" x14ac:dyDescent="0.25">
      <c r="C111">
        <v>4</v>
      </c>
    </row>
    <row r="113" spans="3:9" x14ac:dyDescent="0.25">
      <c r="D113" t="s">
        <v>138</v>
      </c>
      <c r="I113" t="s">
        <v>139</v>
      </c>
    </row>
    <row r="115" spans="3:9" x14ac:dyDescent="0.25">
      <c r="D115" s="20" t="s">
        <v>177</v>
      </c>
    </row>
    <row r="118" spans="3:9" x14ac:dyDescent="0.25">
      <c r="C118">
        <v>5</v>
      </c>
    </row>
    <row r="123" spans="3:9" x14ac:dyDescent="0.25">
      <c r="I123" t="s">
        <v>141</v>
      </c>
    </row>
    <row r="144" spans="11:11" x14ac:dyDescent="0.25">
      <c r="K144" t="s">
        <v>142</v>
      </c>
    </row>
    <row r="161" spans="3:11" x14ac:dyDescent="0.25">
      <c r="C161">
        <v>6</v>
      </c>
    </row>
    <row r="168" spans="3:11" x14ac:dyDescent="0.25">
      <c r="K168" t="s">
        <v>143</v>
      </c>
    </row>
    <row r="182" spans="13:13" x14ac:dyDescent="0.25">
      <c r="M182" s="20" t="s">
        <v>144</v>
      </c>
    </row>
  </sheetData>
  <mergeCells count="1">
    <mergeCell ref="H8:K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30EF9B-028A-4AE2-B16B-3794CECA6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ASSIGNMENT 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Anju Rajendran</cp:lastModifiedBy>
  <dcterms:modified xsi:type="dcterms:W3CDTF">2026-10-05T18:33:03Z</dcterms:modified>
</cp:coreProperties>
</file>